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\OneDrive\Desktop\Universita'\Corsi\software_arch\RemoteHealthMonitoring\"/>
    </mc:Choice>
  </mc:AlternateContent>
  <xr:revisionPtr revIDLastSave="0" documentId="13_ncr:1_{1A0C0944-4D94-4418-9329-1F30E1738E3F}" xr6:coauthVersionLast="47" xr6:coauthVersionMax="47" xr10:uidLastSave="{00000000-0000-0000-0000-000000000000}"/>
  <bookViews>
    <workbookView xWindow="-110" yWindow="-110" windowWidth="19420" windowHeight="10300" xr2:uid="{B6302E51-422F-4DAB-BB14-BB736057E4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64" i="1" s="1"/>
  <c r="I63" i="1"/>
  <c r="I64" i="1" s="1"/>
  <c r="H63" i="1"/>
  <c r="H64" i="1" s="1"/>
  <c r="G63" i="1"/>
  <c r="G64" i="1" s="1"/>
  <c r="F63" i="1"/>
  <c r="F64" i="1" s="1"/>
  <c r="E63" i="1"/>
  <c r="E64" i="1" s="1"/>
  <c r="D63" i="1"/>
  <c r="D64" i="1" s="1"/>
  <c r="E53" i="1"/>
  <c r="F53" i="1"/>
  <c r="G53" i="1"/>
  <c r="H53" i="1"/>
  <c r="I53" i="1"/>
  <c r="J53" i="1"/>
  <c r="D53" i="1"/>
  <c r="J52" i="1"/>
  <c r="I52" i="1"/>
  <c r="H52" i="1"/>
  <c r="G52" i="1"/>
  <c r="F52" i="1"/>
  <c r="E52" i="1"/>
  <c r="D52" i="1"/>
  <c r="E40" i="1"/>
  <c r="E41" i="1" s="1"/>
  <c r="F40" i="1"/>
  <c r="G40" i="1"/>
  <c r="H40" i="1"/>
  <c r="H41" i="1" s="1"/>
  <c r="I40" i="1"/>
  <c r="I41" i="1" s="1"/>
  <c r="J40" i="1"/>
  <c r="J41" i="1" s="1"/>
  <c r="D40" i="1"/>
  <c r="D41" i="1" s="1"/>
  <c r="F41" i="1"/>
  <c r="E29" i="1"/>
  <c r="E30" i="1" s="1"/>
  <c r="F29" i="1"/>
  <c r="F30" i="1" s="1"/>
  <c r="G29" i="1"/>
  <c r="G30" i="1" s="1"/>
  <c r="H29" i="1"/>
  <c r="H30" i="1" s="1"/>
  <c r="I29" i="1"/>
  <c r="I30" i="1" s="1"/>
  <c r="J29" i="1"/>
  <c r="J30" i="1" s="1"/>
  <c r="D29" i="1"/>
  <c r="D30" i="1" s="1"/>
  <c r="F66" i="1" l="1"/>
  <c r="G66" i="1" s="1"/>
  <c r="F32" i="1"/>
  <c r="G32" i="1" s="1"/>
  <c r="F55" i="1"/>
  <c r="G55" i="1" s="1"/>
  <c r="G41" i="1"/>
  <c r="F43" i="1" s="1"/>
  <c r="G43" i="1" s="1"/>
</calcChain>
</file>

<file path=xl/sharedStrings.xml><?xml version="1.0" encoding="utf-8"?>
<sst xmlns="http://schemas.openxmlformats.org/spreadsheetml/2006/main" count="213" uniqueCount="95">
  <si>
    <t>Astrazione</t>
  </si>
  <si>
    <t>Complessità</t>
  </si>
  <si>
    <t>Frequenza</t>
  </si>
  <si>
    <t>Delay</t>
  </si>
  <si>
    <t>Location</t>
  </si>
  <si>
    <t>Extra flows</t>
  </si>
  <si>
    <t>Intra flows</t>
  </si>
  <si>
    <t>Sharing</t>
  </si>
  <si>
    <t>Control flows</t>
  </si>
  <si>
    <t>Raw/FS</t>
  </si>
  <si>
    <t>Raw/ADL</t>
  </si>
  <si>
    <t>Val/FS</t>
  </si>
  <si>
    <t>Val/ADL</t>
  </si>
  <si>
    <t>Val/AnEm</t>
  </si>
  <si>
    <t>Prog/ADL</t>
  </si>
  <si>
    <t>Prog/Med</t>
  </si>
  <si>
    <t>Spread</t>
  </si>
  <si>
    <t>Proiezione</t>
  </si>
  <si>
    <t>Spread di componente</t>
  </si>
  <si>
    <t>bassa</t>
  </si>
  <si>
    <t>media</t>
  </si>
  <si>
    <t>alta</t>
  </si>
  <si>
    <t>54000 h</t>
  </si>
  <si>
    <t>54000 m</t>
  </si>
  <si>
    <t>25 h</t>
  </si>
  <si>
    <t>62 h</t>
  </si>
  <si>
    <t>75 m</t>
  </si>
  <si>
    <t>11250 h</t>
  </si>
  <si>
    <t>240 h</t>
  </si>
  <si>
    <t>minimo</t>
  </si>
  <si>
    <t>massimo</t>
  </si>
  <si>
    <t>calcolato</t>
  </si>
  <si>
    <t>normalizzato</t>
  </si>
  <si>
    <t>Stima: 2/10</t>
  </si>
  <si>
    <t>Stima: 1/10</t>
  </si>
  <si>
    <t>5 s</t>
  </si>
  <si>
    <t>10 s</t>
  </si>
  <si>
    <t>1 m</t>
  </si>
  <si>
    <t xml:space="preserve"> </t>
  </si>
  <si>
    <t>30 s</t>
  </si>
  <si>
    <t>Attività Programmata</t>
  </si>
  <si>
    <t>Attività Validata</t>
  </si>
  <si>
    <t>Attività Raw</t>
  </si>
  <si>
    <t>3 on 10</t>
  </si>
  <si>
    <t>Componente logica</t>
  </si>
  <si>
    <t>N° attori</t>
  </si>
  <si>
    <t>Sensore Fisiologico</t>
  </si>
  <si>
    <t>Attività-Raw/Dati FS</t>
  </si>
  <si>
    <t>Attività-Raw/ADL</t>
  </si>
  <si>
    <t>Sensore ADL</t>
  </si>
  <si>
    <t>Attività-Validata/Dati FS</t>
  </si>
  <si>
    <t>Attore esterno</t>
  </si>
  <si>
    <t>Attività-Validata/ADL</t>
  </si>
  <si>
    <t>Attività-Validata/Anomalie-Emergenze</t>
  </si>
  <si>
    <t>Medico di turno, Sensore di posizione, Gestore ambulanza</t>
  </si>
  <si>
    <t>Attività-Programmata/ADL</t>
  </si>
  <si>
    <t>Paziente</t>
  </si>
  <si>
    <t>Attività-Programmata/Medico</t>
  </si>
  <si>
    <t>Medico curante</t>
  </si>
  <si>
    <t>Perché c'è una componente che interagisce con 3 attori, mentre tutte le altre con 0 o 1 attore</t>
  </si>
  <si>
    <t>Perché la componente Attività Prog/Medico ha un'unica istanza a cui fanno accesso medici curanti da più locations. Lo stesso vale per la componente Attività Validata/Anom-Emerg, mentre tutte le altre componenti sono "deployate" su ogni paziente e, di conseguenza, interagiscono solo con una location.</t>
  </si>
  <si>
    <t>Non di meno perché il numero di istanze dei primi 4 componenti è alto, ma questi interagiscono</t>
  </si>
  <si>
    <t>solo con uno o zero attori.</t>
  </si>
  <si>
    <t>Componenti con cui interagisce</t>
  </si>
  <si>
    <t>Numero</t>
  </si>
  <si>
    <t>Intensità: {L, M, H}</t>
  </si>
  <si>
    <t>Low</t>
  </si>
  <si>
    <t>1 on 10</t>
  </si>
  <si>
    <t>Probabilità del conflitto: {L, M, H}</t>
  </si>
  <si>
    <t>locale (R), centrale (W)</t>
  </si>
  <si>
    <t>Componenti con cui può avere conflitto</t>
  </si>
  <si>
    <t>M</t>
  </si>
  <si>
    <t>Commento</t>
  </si>
  <si>
    <t>A</t>
  </si>
  <si>
    <t>B</t>
  </si>
  <si>
    <t>C</t>
  </si>
  <si>
    <t>D</t>
  </si>
  <si>
    <t>E</t>
  </si>
  <si>
    <t>F</t>
  </si>
  <si>
    <t>G</t>
  </si>
  <si>
    <t>Contare la ricezione dell'informazione da C?</t>
  </si>
  <si>
    <t>Contare la ricezione del flusso da C?</t>
  </si>
  <si>
    <t>locale (R), ADL giornaliere (W)</t>
  </si>
  <si>
    <t>Datastore a cui accede</t>
  </si>
  <si>
    <t>Situazione simmetrica della componente A</t>
  </si>
  <si>
    <t>locale (R), ADL giornaliere (R), centrale (R/W)</t>
  </si>
  <si>
    <t>centrale (W)</t>
  </si>
  <si>
    <t>Non si ha mai conflitto su Cartella Sanitaria perché viene letta e modificata in momenti diversi per uno stesso paziente</t>
  </si>
  <si>
    <t>centrale (R/W), Medico di Turno (R/W)</t>
  </si>
  <si>
    <t>A (datastore centrale)</t>
  </si>
  <si>
    <t>C/G (datastore centrale)</t>
  </si>
  <si>
    <t>Il conflitto con C avviene quando C legge prima che A abbia scritto i dati rilevati: questo non succede mai se la frequenza con cui vengono rilevati i dati rimane 30 secondi. Il conflitto con G è simmetrico a quanto scritto per G</t>
  </si>
  <si>
    <t>Perché quasi tutto i conflitti individuati riguardano dati non aggiornati</t>
  </si>
  <si>
    <t>e non la scrittura di dati che si stanno leggendo</t>
  </si>
  <si>
    <t>Il conflitto sullo Storico Attività Riabilitazione ha probabilità alta di succedere ma non è impattante sul sistema in quanto il medico non accede agli ultimi dati raccolti, ma ha comunque a disposizione quelli precedenti.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</si>
</sst>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  <xf numFmtId="2" fontId="0" fillId="0" borderId="1" xfId="0" applyNumberFormat="1" applyBorder="1"/>
    <xf numFmtId="0" fontId="0" fillId="0" borderId="12" xfId="0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Foglio1!$B$1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Foglio1!$A$2:$A$10</c:f>
              <c:strCache>
                <c:ptCount val="9"/>
                <c:pt idx="0">
                  <c:v>Frequenza</c:v>
                </c:pt>
                <c:pt idx="1">
                  <c:v>Complessità</c:v>
                </c:pt>
                <c:pt idx="2">
                  <c:v>Delay</c:v>
                </c:pt>
                <c:pt idx="3">
                  <c:v>Astrazione</c:v>
                </c:pt>
                <c:pt idx="4">
                  <c:v>Location</c:v>
                </c:pt>
                <c:pt idx="5">
                  <c:v>Extra flows</c:v>
                </c:pt>
                <c:pt idx="6">
                  <c:v>Intra flows</c:v>
                </c:pt>
                <c:pt idx="7">
                  <c:v>Sharing</c:v>
                </c:pt>
                <c:pt idx="8">
                  <c:v>Control flows</c:v>
                </c:pt>
              </c:strCache>
            </c:strRef>
          </c:cat>
          <c:val>
            <c:numRef>
              <c:f>Foglio1!$B$2:$B$10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6C2-84C0-A27D47A35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25888"/>
        <c:axId val="547026968"/>
      </c:radarChart>
      <c:catAx>
        <c:axId val="54702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26968"/>
        <c:crosses val="autoZero"/>
        <c:auto val="1"/>
        <c:lblAlgn val="ctr"/>
        <c:lblOffset val="100"/>
        <c:noMultiLvlLbl val="0"/>
      </c:catAx>
      <c:valAx>
        <c:axId val="54702696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2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597278</xdr:colOff>
      <xdr:row>0</xdr:row>
      <xdr:rowOff>137552</xdr:rowOff>
    </xdr:from>
    <xdr:to>
      <xdr:col>9</xdr:col>
      <xdr:colOff>179835</xdr:colOff>
      <xdr:row>15</xdr:row>
      <xdr:rowOff>118502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60E37C9-AD47-705C-1658-5E04D0FFE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6402-B22A-48B0-9EA6-7F5DA49EAEBE}">
  <dimension ref="A1:Q113"/>
  <sheetViews>
    <sheetView tabSelected="1" zoomScale="85" zoomScaleNormal="85" workbookViewId="0">
      <selection activeCell="Q103" sqref="Q103"/>
    </sheetView>
  </sheetViews>
  <sheetFormatPr defaultRowHeight="14.5" x14ac:dyDescent="0.35"/>
  <cols>
    <col min="1" max="1" width="11" bestFit="1" customWidth="1"/>
    <col min="2" max="2" width="5.08984375" customWidth="1"/>
    <col min="3" max="3" width="19.453125" bestFit="1" customWidth="1"/>
    <col min="7" max="7" width="12.54296875" bestFit="1" customWidth="1"/>
    <col min="11" max="11" width="2.26953125" bestFit="1" customWidth="1"/>
    <col min="12" max="12" width="32.453125" bestFit="1" customWidth="1"/>
    <col min="13" max="13" width="49.36328125" customWidth="1"/>
    <col min="14" max="14" width="41.81640625" bestFit="1" customWidth="1"/>
    <col min="15" max="15" width="15.90625" bestFit="1" customWidth="1"/>
    <col min="16" max="16" width="28.36328125" bestFit="1" customWidth="1"/>
    <col min="17" max="17" width="248" bestFit="1" customWidth="1"/>
  </cols>
  <sheetData>
    <row r="1" spans="1:2" x14ac:dyDescent="0.35">
      <c r="A1" s="1"/>
      <c r="B1" s="1"/>
    </row>
    <row r="2" spans="1:2" x14ac:dyDescent="0.35">
      <c r="A2" t="s">
        <v>2</v>
      </c>
      <c r="B2">
        <v>1</v>
      </c>
    </row>
    <row r="3" spans="1:2" x14ac:dyDescent="0.35">
      <c r="A3" t="s">
        <v>1</v>
      </c>
      <c r="B3">
        <v>2</v>
      </c>
    </row>
    <row r="4" spans="1:2" x14ac:dyDescent="0.35">
      <c r="A4" t="s">
        <v>3</v>
      </c>
      <c r="B4">
        <v>2</v>
      </c>
    </row>
    <row r="5" spans="1:2" x14ac:dyDescent="0.35">
      <c r="A5" t="s">
        <v>0</v>
      </c>
      <c r="B5">
        <v>2</v>
      </c>
    </row>
    <row r="6" spans="1:2" x14ac:dyDescent="0.35">
      <c r="A6" t="s">
        <v>4</v>
      </c>
      <c r="B6">
        <v>3</v>
      </c>
    </row>
    <row r="7" spans="1:2" x14ac:dyDescent="0.35">
      <c r="A7" t="s">
        <v>5</v>
      </c>
      <c r="B7">
        <v>3</v>
      </c>
    </row>
    <row r="8" spans="1:2" x14ac:dyDescent="0.35">
      <c r="A8" t="s">
        <v>6</v>
      </c>
      <c r="B8">
        <v>1</v>
      </c>
    </row>
    <row r="9" spans="1:2" x14ac:dyDescent="0.35">
      <c r="A9" t="s">
        <v>7</v>
      </c>
      <c r="B9">
        <v>3</v>
      </c>
    </row>
    <row r="10" spans="1:2" x14ac:dyDescent="0.35">
      <c r="A10" t="s">
        <v>8</v>
      </c>
      <c r="B10">
        <v>1</v>
      </c>
    </row>
    <row r="11" spans="1:2" x14ac:dyDescent="0.35">
      <c r="B11" s="2"/>
    </row>
    <row r="20" spans="3:10" ht="15" thickBot="1" x14ac:dyDescent="0.4">
      <c r="C20" s="15" t="s">
        <v>2</v>
      </c>
      <c r="D20" s="16"/>
      <c r="E20" s="16"/>
      <c r="F20" s="16"/>
      <c r="G20" s="16"/>
      <c r="H20" s="16"/>
      <c r="I20" s="16"/>
      <c r="J20" s="17"/>
    </row>
    <row r="21" spans="3:10" ht="15" thickTop="1" x14ac:dyDescent="0.35">
      <c r="C21" s="5" t="s">
        <v>2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</row>
    <row r="22" spans="3:10" x14ac:dyDescent="0.35">
      <c r="C22" s="3" t="s">
        <v>22</v>
      </c>
      <c r="D22" s="3"/>
      <c r="E22" s="3"/>
      <c r="F22" s="3"/>
      <c r="G22" s="3"/>
      <c r="H22" s="3"/>
      <c r="I22" s="3">
        <v>1</v>
      </c>
      <c r="J22" s="3"/>
    </row>
    <row r="23" spans="3:10" x14ac:dyDescent="0.35">
      <c r="C23" s="3" t="s">
        <v>23</v>
      </c>
      <c r="D23" s="3">
        <v>1</v>
      </c>
      <c r="E23" s="3"/>
      <c r="F23" s="3">
        <v>1</v>
      </c>
      <c r="G23" s="3"/>
      <c r="H23" s="3"/>
      <c r="I23" s="3"/>
      <c r="J23" s="3"/>
    </row>
    <row r="24" spans="3:10" x14ac:dyDescent="0.35">
      <c r="C24" s="3" t="s">
        <v>24</v>
      </c>
      <c r="D24" s="3"/>
      <c r="E24" s="3"/>
      <c r="F24" s="3"/>
      <c r="G24" s="3"/>
      <c r="H24" s="3">
        <v>1</v>
      </c>
      <c r="I24" s="3"/>
      <c r="J24" s="3"/>
    </row>
    <row r="25" spans="3:10" x14ac:dyDescent="0.35">
      <c r="C25" s="3" t="s">
        <v>25</v>
      </c>
      <c r="D25" s="3"/>
      <c r="E25" s="3"/>
      <c r="F25" s="3"/>
      <c r="G25" s="3"/>
      <c r="H25" s="3">
        <v>1</v>
      </c>
      <c r="I25" s="3"/>
      <c r="J25" s="3"/>
    </row>
    <row r="26" spans="3:10" x14ac:dyDescent="0.35">
      <c r="C26" s="3" t="s">
        <v>26</v>
      </c>
      <c r="D26" s="3"/>
      <c r="E26" s="3"/>
      <c r="F26" s="3"/>
      <c r="G26" s="3">
        <v>1</v>
      </c>
      <c r="H26" s="3"/>
      <c r="I26" s="3"/>
      <c r="J26" s="3"/>
    </row>
    <row r="27" spans="3:10" x14ac:dyDescent="0.35">
      <c r="C27" s="3" t="s">
        <v>27</v>
      </c>
      <c r="D27" s="3"/>
      <c r="E27" s="3">
        <v>1</v>
      </c>
      <c r="F27" s="3"/>
      <c r="G27" s="3"/>
      <c r="H27" s="3"/>
      <c r="I27" s="3"/>
      <c r="J27" s="3"/>
    </row>
    <row r="28" spans="3:10" ht="15" thickBot="1" x14ac:dyDescent="0.4">
      <c r="C28" s="8" t="s">
        <v>28</v>
      </c>
      <c r="D28" s="8"/>
      <c r="E28" s="8"/>
      <c r="F28" s="8"/>
      <c r="G28" s="8"/>
      <c r="H28" s="8"/>
      <c r="I28" s="8"/>
      <c r="J28" s="8">
        <v>1</v>
      </c>
    </row>
    <row r="29" spans="3:10" ht="15" thickTop="1" x14ac:dyDescent="0.35">
      <c r="C29" s="5" t="s">
        <v>17</v>
      </c>
      <c r="D29" s="5">
        <f t="shared" ref="D29:J29" si="0">SUM(D22:D28)</f>
        <v>1</v>
      </c>
      <c r="E29" s="5">
        <f t="shared" si="0"/>
        <v>1</v>
      </c>
      <c r="F29" s="5">
        <f t="shared" si="0"/>
        <v>1</v>
      </c>
      <c r="G29" s="5">
        <f t="shared" si="0"/>
        <v>1</v>
      </c>
      <c r="H29" s="5">
        <f t="shared" si="0"/>
        <v>2</v>
      </c>
      <c r="I29" s="5">
        <f t="shared" si="0"/>
        <v>1</v>
      </c>
      <c r="J29" s="5">
        <f t="shared" si="0"/>
        <v>1</v>
      </c>
    </row>
    <row r="30" spans="3:10" ht="15" thickBot="1" x14ac:dyDescent="0.4">
      <c r="C30" s="8" t="s">
        <v>18</v>
      </c>
      <c r="D30" s="8">
        <f>D29/7</f>
        <v>0.14285714285714285</v>
      </c>
      <c r="E30" s="8">
        <f t="shared" ref="E30:I30" si="1">E29/7</f>
        <v>0.14285714285714285</v>
      </c>
      <c r="F30" s="8">
        <f t="shared" si="1"/>
        <v>0.14285714285714285</v>
      </c>
      <c r="G30" s="8">
        <f t="shared" si="1"/>
        <v>0.14285714285714285</v>
      </c>
      <c r="H30" s="8">
        <f t="shared" si="1"/>
        <v>0.2857142857142857</v>
      </c>
      <c r="I30" s="8">
        <f t="shared" si="1"/>
        <v>0.14285714285714285</v>
      </c>
      <c r="J30" s="8">
        <f>J29/7</f>
        <v>0.14285714285714285</v>
      </c>
    </row>
    <row r="31" spans="3:10" ht="15" thickTop="1" x14ac:dyDescent="0.35">
      <c r="C31" s="5"/>
      <c r="D31" s="5" t="s">
        <v>29</v>
      </c>
      <c r="E31" s="5" t="s">
        <v>30</v>
      </c>
      <c r="F31" s="5" t="s">
        <v>31</v>
      </c>
      <c r="G31" s="5" t="s">
        <v>32</v>
      </c>
      <c r="H31" s="18"/>
      <c r="I31" s="19"/>
      <c r="J31" s="19"/>
    </row>
    <row r="32" spans="3:10" x14ac:dyDescent="0.35">
      <c r="C32" s="3" t="s">
        <v>16</v>
      </c>
      <c r="D32" s="11">
        <v>0.14285714285714285</v>
      </c>
      <c r="E32" s="3">
        <v>1</v>
      </c>
      <c r="F32" s="3">
        <f>AVERAGE(D30:J30)</f>
        <v>0.16326530612244897</v>
      </c>
      <c r="G32" s="3">
        <f>(F32-D32)/(E32-D32)</f>
        <v>2.3809523809523801E-2</v>
      </c>
      <c r="H32" s="4"/>
      <c r="I32" s="14" t="s">
        <v>34</v>
      </c>
      <c r="J32" s="14"/>
    </row>
    <row r="35" spans="3:11" ht="15" thickBot="1" x14ac:dyDescent="0.4">
      <c r="C35" s="20" t="s">
        <v>1</v>
      </c>
      <c r="D35" s="20"/>
      <c r="E35" s="20"/>
      <c r="F35" s="20"/>
      <c r="G35" s="20"/>
      <c r="H35" s="20"/>
      <c r="I35" s="20"/>
      <c r="J35" s="20"/>
    </row>
    <row r="36" spans="3:11" ht="15" thickTop="1" x14ac:dyDescent="0.35">
      <c r="C36" s="5" t="s">
        <v>1</v>
      </c>
      <c r="D36" s="5" t="s">
        <v>9</v>
      </c>
      <c r="E36" s="5" t="s">
        <v>10</v>
      </c>
      <c r="F36" s="5" t="s">
        <v>11</v>
      </c>
      <c r="G36" s="5" t="s">
        <v>12</v>
      </c>
      <c r="H36" s="5" t="s">
        <v>13</v>
      </c>
      <c r="I36" s="5" t="s">
        <v>14</v>
      </c>
      <c r="J36" s="4" t="s">
        <v>15</v>
      </c>
      <c r="K36" s="6"/>
    </row>
    <row r="37" spans="3:11" x14ac:dyDescent="0.35">
      <c r="C37" s="3" t="s">
        <v>19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9">
        <v>1</v>
      </c>
      <c r="K37" s="6"/>
    </row>
    <row r="38" spans="3:11" x14ac:dyDescent="0.35">
      <c r="C38" s="3" t="s">
        <v>20</v>
      </c>
      <c r="D38" s="3"/>
      <c r="E38" s="3"/>
      <c r="F38" s="3"/>
      <c r="G38" s="3"/>
      <c r="H38" s="3">
        <v>1</v>
      </c>
      <c r="I38" s="3"/>
      <c r="J38" s="9"/>
      <c r="K38" s="6"/>
    </row>
    <row r="39" spans="3:11" ht="15" thickBot="1" x14ac:dyDescent="0.4">
      <c r="C39" s="8" t="s">
        <v>21</v>
      </c>
      <c r="D39" s="8"/>
      <c r="E39" s="8"/>
      <c r="F39" s="8">
        <v>1</v>
      </c>
      <c r="G39" s="8"/>
      <c r="H39" s="8"/>
      <c r="I39" s="8"/>
      <c r="J39" s="10"/>
      <c r="K39" s="6"/>
    </row>
    <row r="40" spans="3:11" ht="15" thickTop="1" x14ac:dyDescent="0.35">
      <c r="C40" s="5" t="s">
        <v>17</v>
      </c>
      <c r="D40" s="5">
        <f>SUM(D37:D39)</f>
        <v>1</v>
      </c>
      <c r="E40" s="5">
        <f t="shared" ref="E40:J40" si="2">SUM(E37:E39)</f>
        <v>1</v>
      </c>
      <c r="F40" s="5">
        <f t="shared" si="2"/>
        <v>2</v>
      </c>
      <c r="G40" s="5">
        <f t="shared" si="2"/>
        <v>1</v>
      </c>
      <c r="H40" s="5">
        <f t="shared" si="2"/>
        <v>2</v>
      </c>
      <c r="I40" s="5">
        <f t="shared" si="2"/>
        <v>1</v>
      </c>
      <c r="J40" s="5">
        <f t="shared" si="2"/>
        <v>1</v>
      </c>
    </row>
    <row r="41" spans="3:11" ht="15" thickBot="1" x14ac:dyDescent="0.4">
      <c r="C41" s="8" t="s">
        <v>18</v>
      </c>
      <c r="D41" s="8">
        <f>D40/3</f>
        <v>0.33333333333333331</v>
      </c>
      <c r="E41" s="8">
        <f t="shared" ref="E41:J41" si="3">E40/3</f>
        <v>0.33333333333333331</v>
      </c>
      <c r="F41" s="8">
        <f t="shared" si="3"/>
        <v>0.66666666666666663</v>
      </c>
      <c r="G41" s="8">
        <f t="shared" si="3"/>
        <v>0.33333333333333331</v>
      </c>
      <c r="H41" s="8">
        <f t="shared" si="3"/>
        <v>0.66666666666666663</v>
      </c>
      <c r="I41" s="8">
        <f t="shared" si="3"/>
        <v>0.33333333333333331</v>
      </c>
      <c r="J41" s="8">
        <f t="shared" si="3"/>
        <v>0.33333333333333331</v>
      </c>
    </row>
    <row r="42" spans="3:11" ht="15" thickTop="1" x14ac:dyDescent="0.35">
      <c r="C42" s="5"/>
      <c r="D42" s="5" t="s">
        <v>29</v>
      </c>
      <c r="E42" s="5" t="s">
        <v>30</v>
      </c>
      <c r="F42" s="5" t="s">
        <v>31</v>
      </c>
      <c r="G42" s="4" t="s">
        <v>32</v>
      </c>
      <c r="H42" s="18"/>
      <c r="I42" s="19"/>
      <c r="J42" s="19"/>
    </row>
    <row r="43" spans="3:11" x14ac:dyDescent="0.35">
      <c r="C43" s="3" t="s">
        <v>16</v>
      </c>
      <c r="D43" s="11">
        <v>0.33333333333333331</v>
      </c>
      <c r="E43" s="3">
        <v>1</v>
      </c>
      <c r="F43" s="3">
        <f>AVERAGE(D41:J41)</f>
        <v>0.42857142857142855</v>
      </c>
      <c r="G43" s="9">
        <f>(F43-D43)/(E43-D43)</f>
        <v>0.14285714285714282</v>
      </c>
      <c r="H43" s="4"/>
      <c r="I43" s="14" t="s">
        <v>33</v>
      </c>
      <c r="J43" s="14"/>
    </row>
    <row r="46" spans="3:11" ht="15" thickBot="1" x14ac:dyDescent="0.4">
      <c r="C46" s="20" t="s">
        <v>3</v>
      </c>
      <c r="D46" s="20"/>
      <c r="E46" s="20"/>
      <c r="F46" s="20"/>
      <c r="G46" s="20"/>
      <c r="H46" s="20"/>
      <c r="I46" s="20"/>
      <c r="J46" s="20"/>
    </row>
    <row r="47" spans="3:11" ht="15" thickTop="1" x14ac:dyDescent="0.35">
      <c r="C47" s="5" t="s">
        <v>3</v>
      </c>
      <c r="D47" s="5" t="s">
        <v>9</v>
      </c>
      <c r="E47" s="5" t="s">
        <v>10</v>
      </c>
      <c r="F47" s="5" t="s">
        <v>11</v>
      </c>
      <c r="G47" s="5" t="s">
        <v>12</v>
      </c>
      <c r="H47" s="5" t="s">
        <v>13</v>
      </c>
      <c r="I47" s="5" t="s">
        <v>14</v>
      </c>
      <c r="J47" s="5" t="s">
        <v>15</v>
      </c>
    </row>
    <row r="48" spans="3:11" x14ac:dyDescent="0.35">
      <c r="C48" s="3" t="s">
        <v>35</v>
      </c>
      <c r="D48" s="3">
        <v>1</v>
      </c>
      <c r="E48" s="3"/>
      <c r="F48" s="3"/>
      <c r="G48" s="3"/>
      <c r="H48" s="3"/>
      <c r="I48" s="3"/>
      <c r="J48" s="3"/>
    </row>
    <row r="49" spans="2:10" x14ac:dyDescent="0.35">
      <c r="C49" s="3" t="s">
        <v>36</v>
      </c>
      <c r="D49" s="3"/>
      <c r="E49" s="3">
        <v>1</v>
      </c>
      <c r="F49" s="3"/>
      <c r="G49" s="3"/>
      <c r="H49" s="3">
        <v>1</v>
      </c>
      <c r="I49" s="3"/>
      <c r="J49" s="3"/>
    </row>
    <row r="50" spans="2:10" x14ac:dyDescent="0.35">
      <c r="B50" t="s">
        <v>38</v>
      </c>
      <c r="C50" s="7" t="s">
        <v>39</v>
      </c>
      <c r="D50" s="7"/>
      <c r="E50" s="7"/>
      <c r="F50" s="7"/>
      <c r="G50" s="7"/>
      <c r="H50" s="7">
        <v>1</v>
      </c>
      <c r="I50" s="7"/>
      <c r="J50" s="7"/>
    </row>
    <row r="51" spans="2:10" ht="15" thickBot="1" x14ac:dyDescent="0.4">
      <c r="C51" s="8" t="s">
        <v>37</v>
      </c>
      <c r="D51" s="8"/>
      <c r="E51" s="8"/>
      <c r="F51" s="8">
        <v>1</v>
      </c>
      <c r="G51" s="8"/>
      <c r="H51" s="8"/>
      <c r="I51" s="8"/>
      <c r="J51" s="8"/>
    </row>
    <row r="52" spans="2:10" ht="15" thickTop="1" x14ac:dyDescent="0.35">
      <c r="C52" s="5" t="s">
        <v>17</v>
      </c>
      <c r="D52" s="5">
        <f>SUM(D48:D51)</f>
        <v>1</v>
      </c>
      <c r="E52" s="5">
        <f t="shared" ref="E52" si="4">SUM(E48:E51)</f>
        <v>1</v>
      </c>
      <c r="F52" s="5">
        <f t="shared" ref="F52" si="5">SUM(F48:F51)</f>
        <v>1</v>
      </c>
      <c r="G52" s="5">
        <f t="shared" ref="G52" si="6">SUM(G48:G51)</f>
        <v>0</v>
      </c>
      <c r="H52" s="5">
        <f t="shared" ref="H52" si="7">SUM(H48:H51)</f>
        <v>2</v>
      </c>
      <c r="I52" s="5">
        <f t="shared" ref="I52" si="8">SUM(I48:I51)</f>
        <v>0</v>
      </c>
      <c r="J52" s="5">
        <f t="shared" ref="J52" si="9">SUM(J48:J51)</f>
        <v>0</v>
      </c>
    </row>
    <row r="53" spans="2:10" ht="15" thickBot="1" x14ac:dyDescent="0.4">
      <c r="C53" s="8" t="s">
        <v>18</v>
      </c>
      <c r="D53" s="8">
        <f>D52/4</f>
        <v>0.25</v>
      </c>
      <c r="E53" s="8">
        <f t="shared" ref="E53:J53" si="10">E52/4</f>
        <v>0.25</v>
      </c>
      <c r="F53" s="8">
        <f t="shared" si="10"/>
        <v>0.25</v>
      </c>
      <c r="G53" s="8">
        <f t="shared" si="10"/>
        <v>0</v>
      </c>
      <c r="H53" s="8">
        <f t="shared" si="10"/>
        <v>0.5</v>
      </c>
      <c r="I53" s="8">
        <f t="shared" si="10"/>
        <v>0</v>
      </c>
      <c r="J53" s="8">
        <f t="shared" si="10"/>
        <v>0</v>
      </c>
    </row>
    <row r="54" spans="2:10" ht="15" thickTop="1" x14ac:dyDescent="0.35">
      <c r="C54" s="5"/>
      <c r="D54" s="5" t="s">
        <v>29</v>
      </c>
      <c r="E54" s="5" t="s">
        <v>30</v>
      </c>
      <c r="F54" s="5" t="s">
        <v>31</v>
      </c>
      <c r="G54" s="4" t="s">
        <v>32</v>
      </c>
      <c r="H54" s="18"/>
      <c r="I54" s="19"/>
      <c r="J54" s="19"/>
    </row>
    <row r="55" spans="2:10" x14ac:dyDescent="0.35">
      <c r="C55" s="3" t="s">
        <v>16</v>
      </c>
      <c r="D55" s="11">
        <v>0</v>
      </c>
      <c r="E55" s="3">
        <v>1</v>
      </c>
      <c r="F55" s="3">
        <f>AVERAGE(D53:J53)</f>
        <v>0.17857142857142858</v>
      </c>
      <c r="G55" s="9">
        <f>(F55-D55)/(E55-D55)</f>
        <v>0.17857142857142858</v>
      </c>
      <c r="H55" s="4"/>
      <c r="I55" s="14" t="s">
        <v>33</v>
      </c>
      <c r="J55" s="14"/>
    </row>
    <row r="58" spans="2:10" ht="15" thickBot="1" x14ac:dyDescent="0.4">
      <c r="C58" s="20" t="s">
        <v>0</v>
      </c>
      <c r="D58" s="20"/>
      <c r="E58" s="20"/>
      <c r="F58" s="20"/>
      <c r="G58" s="20"/>
      <c r="H58" s="20"/>
      <c r="I58" s="20"/>
      <c r="J58" s="20"/>
    </row>
    <row r="59" spans="2:10" ht="15" thickTop="1" x14ac:dyDescent="0.35">
      <c r="C59" s="5" t="s">
        <v>0</v>
      </c>
      <c r="D59" s="5" t="s">
        <v>9</v>
      </c>
      <c r="E59" s="5" t="s">
        <v>10</v>
      </c>
      <c r="F59" s="5" t="s">
        <v>11</v>
      </c>
      <c r="G59" s="5" t="s">
        <v>12</v>
      </c>
      <c r="H59" s="5" t="s">
        <v>13</v>
      </c>
      <c r="I59" s="5" t="s">
        <v>14</v>
      </c>
      <c r="J59" s="12" t="s">
        <v>15</v>
      </c>
    </row>
    <row r="60" spans="2:10" x14ac:dyDescent="0.35">
      <c r="C60" s="3" t="s">
        <v>42</v>
      </c>
      <c r="D60" s="3">
        <v>1</v>
      </c>
      <c r="E60" s="3">
        <v>1</v>
      </c>
      <c r="F60" s="3"/>
      <c r="G60" s="3"/>
      <c r="H60" s="3"/>
      <c r="I60" s="3"/>
      <c r="J60" s="3"/>
    </row>
    <row r="61" spans="2:10" x14ac:dyDescent="0.35">
      <c r="C61" s="3" t="s">
        <v>41</v>
      </c>
      <c r="D61" s="3"/>
      <c r="E61" s="3"/>
      <c r="F61" s="3">
        <v>1</v>
      </c>
      <c r="G61" s="3">
        <v>1</v>
      </c>
      <c r="H61" s="3">
        <v>1</v>
      </c>
      <c r="I61" s="3"/>
      <c r="J61" s="3">
        <v>1</v>
      </c>
    </row>
    <row r="62" spans="2:10" ht="15" thickBot="1" x14ac:dyDescent="0.4">
      <c r="C62" s="8" t="s">
        <v>40</v>
      </c>
      <c r="D62" s="8"/>
      <c r="E62" s="8"/>
      <c r="F62" s="8"/>
      <c r="G62" s="8">
        <v>1</v>
      </c>
      <c r="H62" s="8"/>
      <c r="I62" s="8">
        <v>1</v>
      </c>
      <c r="J62" s="8">
        <v>1</v>
      </c>
    </row>
    <row r="63" spans="2:10" ht="15" thickTop="1" x14ac:dyDescent="0.35">
      <c r="C63" s="5" t="s">
        <v>17</v>
      </c>
      <c r="D63" s="5">
        <f>SUM(D60:D62)</f>
        <v>1</v>
      </c>
      <c r="E63" s="5">
        <f t="shared" ref="E63" si="11">SUM(E60:E62)</f>
        <v>1</v>
      </c>
      <c r="F63" s="5">
        <f t="shared" ref="F63" si="12">SUM(F60:F62)</f>
        <v>1</v>
      </c>
      <c r="G63" s="5">
        <f t="shared" ref="G63" si="13">SUM(G60:G62)</f>
        <v>2</v>
      </c>
      <c r="H63" s="5">
        <f t="shared" ref="H63" si="14">SUM(H60:H62)</f>
        <v>1</v>
      </c>
      <c r="I63" s="5">
        <f t="shared" ref="I63" si="15">SUM(I60:I62)</f>
        <v>1</v>
      </c>
      <c r="J63" s="5">
        <f t="shared" ref="J63" si="16">SUM(J60:J62)</f>
        <v>2</v>
      </c>
    </row>
    <row r="64" spans="2:10" ht="15" thickBot="1" x14ac:dyDescent="0.4">
      <c r="C64" s="8" t="s">
        <v>18</v>
      </c>
      <c r="D64" s="8">
        <f>D63/3</f>
        <v>0.33333333333333331</v>
      </c>
      <c r="E64" s="8">
        <f t="shared" ref="E64" si="17">E63/3</f>
        <v>0.33333333333333331</v>
      </c>
      <c r="F64" s="8">
        <f t="shared" ref="F64" si="18">F63/3</f>
        <v>0.33333333333333331</v>
      </c>
      <c r="G64" s="8">
        <f t="shared" ref="G64" si="19">G63/3</f>
        <v>0.66666666666666663</v>
      </c>
      <c r="H64" s="8">
        <f t="shared" ref="H64" si="20">H63/3</f>
        <v>0.33333333333333331</v>
      </c>
      <c r="I64" s="8">
        <f t="shared" ref="I64" si="21">I63/3</f>
        <v>0.33333333333333331</v>
      </c>
      <c r="J64" s="8">
        <f t="shared" ref="J64" si="22">J63/3</f>
        <v>0.66666666666666663</v>
      </c>
    </row>
    <row r="65" spans="3:14" ht="15" thickTop="1" x14ac:dyDescent="0.35">
      <c r="C65" s="5"/>
      <c r="D65" s="5" t="s">
        <v>29</v>
      </c>
      <c r="E65" s="5" t="s">
        <v>30</v>
      </c>
      <c r="F65" s="5" t="s">
        <v>31</v>
      </c>
      <c r="G65" s="4" t="s">
        <v>32</v>
      </c>
      <c r="H65" s="18"/>
      <c r="I65" s="19"/>
      <c r="J65" s="19"/>
    </row>
    <row r="66" spans="3:14" x14ac:dyDescent="0.35">
      <c r="C66" s="3" t="s">
        <v>16</v>
      </c>
      <c r="D66" s="11">
        <v>0.33333333333333331</v>
      </c>
      <c r="E66" s="3">
        <v>1</v>
      </c>
      <c r="F66" s="3">
        <f>AVERAGE(D64:J64)</f>
        <v>0.42857142857142849</v>
      </c>
      <c r="G66" s="9">
        <f>(F66-D66)/(E66-D66)</f>
        <v>0.14285714285714274</v>
      </c>
      <c r="H66" s="4"/>
      <c r="I66" s="14" t="s">
        <v>33</v>
      </c>
      <c r="J66" s="14"/>
    </row>
    <row r="68" spans="3:14" x14ac:dyDescent="0.35">
      <c r="C68" s="3" t="s">
        <v>4</v>
      </c>
    </row>
    <row r="69" spans="3:14" x14ac:dyDescent="0.35">
      <c r="C69" s="13" t="s">
        <v>43</v>
      </c>
      <c r="D69" t="s">
        <v>60</v>
      </c>
    </row>
    <row r="71" spans="3:14" x14ac:dyDescent="0.35">
      <c r="C71" s="3" t="s">
        <v>5</v>
      </c>
    </row>
    <row r="72" spans="3:14" x14ac:dyDescent="0.35">
      <c r="C72" s="3" t="s">
        <v>43</v>
      </c>
    </row>
    <row r="73" spans="3:14" x14ac:dyDescent="0.35">
      <c r="K73" s="3"/>
      <c r="L73" s="3" t="s">
        <v>44</v>
      </c>
      <c r="M73" s="3" t="s">
        <v>51</v>
      </c>
      <c r="N73" s="3" t="s">
        <v>45</v>
      </c>
    </row>
    <row r="74" spans="3:14" x14ac:dyDescent="0.35">
      <c r="C74" t="s">
        <v>59</v>
      </c>
      <c r="K74" s="3" t="s">
        <v>73</v>
      </c>
      <c r="L74" s="3" t="s">
        <v>47</v>
      </c>
      <c r="M74" s="3" t="s">
        <v>46</v>
      </c>
      <c r="N74" s="3">
        <v>1</v>
      </c>
    </row>
    <row r="75" spans="3:14" x14ac:dyDescent="0.35">
      <c r="C75" t="s">
        <v>61</v>
      </c>
      <c r="K75" s="3" t="s">
        <v>74</v>
      </c>
      <c r="L75" s="3" t="s">
        <v>48</v>
      </c>
      <c r="M75" s="3" t="s">
        <v>49</v>
      </c>
      <c r="N75" s="3">
        <v>1</v>
      </c>
    </row>
    <row r="76" spans="3:14" x14ac:dyDescent="0.35">
      <c r="C76" t="s">
        <v>62</v>
      </c>
      <c r="K76" s="3" t="s">
        <v>75</v>
      </c>
      <c r="L76" s="3" t="s">
        <v>50</v>
      </c>
      <c r="M76" s="3"/>
      <c r="N76" s="3">
        <v>0</v>
      </c>
    </row>
    <row r="77" spans="3:14" x14ac:dyDescent="0.35">
      <c r="K77" s="3" t="s">
        <v>76</v>
      </c>
      <c r="L77" s="3" t="s">
        <v>52</v>
      </c>
      <c r="M77" s="3"/>
      <c r="N77" s="3">
        <v>0</v>
      </c>
    </row>
    <row r="78" spans="3:14" x14ac:dyDescent="0.35">
      <c r="K78" s="3" t="s">
        <v>77</v>
      </c>
      <c r="L78" s="3" t="s">
        <v>53</v>
      </c>
      <c r="M78" s="3" t="s">
        <v>54</v>
      </c>
      <c r="N78" s="3">
        <v>3</v>
      </c>
    </row>
    <row r="79" spans="3:14" x14ac:dyDescent="0.35">
      <c r="K79" s="3" t="s">
        <v>78</v>
      </c>
      <c r="L79" s="3" t="s">
        <v>55</v>
      </c>
      <c r="M79" s="3" t="s">
        <v>56</v>
      </c>
      <c r="N79" s="3">
        <v>1</v>
      </c>
    </row>
    <row r="80" spans="3:14" x14ac:dyDescent="0.35">
      <c r="K80" s="3" t="s">
        <v>79</v>
      </c>
      <c r="L80" s="3" t="s">
        <v>57</v>
      </c>
      <c r="M80" s="3" t="s">
        <v>58</v>
      </c>
      <c r="N80" s="3">
        <v>1</v>
      </c>
    </row>
    <row r="82" spans="3:17" x14ac:dyDescent="0.35">
      <c r="C82" s="3" t="s">
        <v>6</v>
      </c>
    </row>
    <row r="83" spans="3:17" x14ac:dyDescent="0.35">
      <c r="C83" s="3" t="s">
        <v>67</v>
      </c>
    </row>
    <row r="84" spans="3:17" x14ac:dyDescent="0.35">
      <c r="K84" s="3"/>
      <c r="L84" s="3" t="s">
        <v>44</v>
      </c>
      <c r="M84" s="3" t="s">
        <v>63</v>
      </c>
      <c r="N84" s="3" t="s">
        <v>64</v>
      </c>
      <c r="O84" s="3" t="s">
        <v>65</v>
      </c>
    </row>
    <row r="85" spans="3:17" x14ac:dyDescent="0.35">
      <c r="K85" s="3" t="s">
        <v>73</v>
      </c>
      <c r="L85" s="3" t="s">
        <v>47</v>
      </c>
      <c r="M85" s="3"/>
      <c r="N85" s="3">
        <v>0</v>
      </c>
      <c r="O85" s="3"/>
    </row>
    <row r="86" spans="3:17" x14ac:dyDescent="0.35">
      <c r="K86" s="3" t="s">
        <v>74</v>
      </c>
      <c r="L86" s="3" t="s">
        <v>48</v>
      </c>
      <c r="M86" s="3"/>
      <c r="N86" s="3">
        <v>0</v>
      </c>
      <c r="O86" s="3"/>
    </row>
    <row r="87" spans="3:17" x14ac:dyDescent="0.35">
      <c r="K87" s="3" t="s">
        <v>75</v>
      </c>
      <c r="L87" s="3" t="s">
        <v>50</v>
      </c>
      <c r="M87" s="3" t="s">
        <v>77</v>
      </c>
      <c r="N87" s="3">
        <v>1</v>
      </c>
      <c r="O87" s="3" t="s">
        <v>66</v>
      </c>
    </row>
    <row r="88" spans="3:17" x14ac:dyDescent="0.35">
      <c r="K88" s="3" t="s">
        <v>76</v>
      </c>
      <c r="L88" s="3" t="s">
        <v>52</v>
      </c>
      <c r="M88" s="3"/>
      <c r="N88" s="3">
        <v>0</v>
      </c>
      <c r="O88" s="3"/>
    </row>
    <row r="89" spans="3:17" x14ac:dyDescent="0.35">
      <c r="K89" s="3" t="s">
        <v>77</v>
      </c>
      <c r="L89" s="3" t="s">
        <v>53</v>
      </c>
      <c r="M89" s="3" t="s">
        <v>80</v>
      </c>
      <c r="N89" s="3">
        <v>0</v>
      </c>
      <c r="O89" s="3"/>
    </row>
    <row r="90" spans="3:17" x14ac:dyDescent="0.35">
      <c r="K90" s="3" t="s">
        <v>78</v>
      </c>
      <c r="L90" s="3" t="s">
        <v>55</v>
      </c>
      <c r="M90" s="3"/>
      <c r="N90" s="3">
        <v>0</v>
      </c>
      <c r="O90" s="3"/>
    </row>
    <row r="91" spans="3:17" x14ac:dyDescent="0.35">
      <c r="K91" s="3" t="s">
        <v>79</v>
      </c>
      <c r="L91" s="3" t="s">
        <v>57</v>
      </c>
      <c r="M91" s="3"/>
      <c r="N91" s="3">
        <v>0</v>
      </c>
      <c r="O91" s="3"/>
    </row>
    <row r="93" spans="3:17" x14ac:dyDescent="0.35">
      <c r="C93" s="3" t="s">
        <v>7</v>
      </c>
    </row>
    <row r="94" spans="3:17" x14ac:dyDescent="0.35">
      <c r="C94" s="3" t="s">
        <v>43</v>
      </c>
    </row>
    <row r="95" spans="3:17" x14ac:dyDescent="0.35">
      <c r="K95" s="3"/>
      <c r="L95" s="3" t="s">
        <v>44</v>
      </c>
      <c r="M95" s="3" t="s">
        <v>83</v>
      </c>
      <c r="N95" s="3" t="s">
        <v>70</v>
      </c>
      <c r="O95" s="3" t="s">
        <v>64</v>
      </c>
      <c r="P95" s="3" t="s">
        <v>68</v>
      </c>
      <c r="Q95" s="3" t="s">
        <v>72</v>
      </c>
    </row>
    <row r="96" spans="3:17" x14ac:dyDescent="0.35">
      <c r="C96" t="s">
        <v>92</v>
      </c>
      <c r="K96" s="3" t="s">
        <v>73</v>
      </c>
      <c r="L96" s="3" t="s">
        <v>47</v>
      </c>
      <c r="M96" s="3" t="s">
        <v>69</v>
      </c>
      <c r="N96" s="3" t="s">
        <v>90</v>
      </c>
      <c r="O96" s="3">
        <v>2</v>
      </c>
      <c r="P96" s="3" t="s">
        <v>71</v>
      </c>
      <c r="Q96" s="3" t="s">
        <v>91</v>
      </c>
    </row>
    <row r="97" spans="3:17" x14ac:dyDescent="0.35">
      <c r="C97" t="s">
        <v>93</v>
      </c>
      <c r="K97" s="3" t="s">
        <v>74</v>
      </c>
      <c r="L97" s="3" t="s">
        <v>48</v>
      </c>
      <c r="M97" s="3" t="s">
        <v>82</v>
      </c>
      <c r="N97" s="3"/>
      <c r="O97" s="3">
        <v>0</v>
      </c>
      <c r="P97" s="3"/>
      <c r="Q97" s="3"/>
    </row>
    <row r="98" spans="3:17" x14ac:dyDescent="0.35">
      <c r="K98" s="3" t="s">
        <v>75</v>
      </c>
      <c r="L98" s="3" t="s">
        <v>50</v>
      </c>
      <c r="M98" s="3" t="s">
        <v>69</v>
      </c>
      <c r="N98" s="3" t="s">
        <v>89</v>
      </c>
      <c r="O98" s="3">
        <v>1</v>
      </c>
      <c r="P98" s="3" t="s">
        <v>71</v>
      </c>
      <c r="Q98" s="3" t="s">
        <v>84</v>
      </c>
    </row>
    <row r="99" spans="3:17" x14ac:dyDescent="0.35">
      <c r="K99" s="3" t="s">
        <v>76</v>
      </c>
      <c r="L99" s="3" t="s">
        <v>52</v>
      </c>
      <c r="M99" s="3" t="s">
        <v>85</v>
      </c>
      <c r="N99" s="3"/>
      <c r="O99" s="3">
        <v>0</v>
      </c>
      <c r="P99" s="3"/>
      <c r="Q99" s="3"/>
    </row>
    <row r="100" spans="3:17" x14ac:dyDescent="0.35">
      <c r="K100" s="3" t="s">
        <v>77</v>
      </c>
      <c r="L100" s="3" t="s">
        <v>53</v>
      </c>
      <c r="M100" s="3" t="s">
        <v>88</v>
      </c>
      <c r="N100" s="3"/>
      <c r="O100" s="3">
        <v>0</v>
      </c>
      <c r="P100" s="3"/>
      <c r="Q100" s="3" t="s">
        <v>87</v>
      </c>
    </row>
    <row r="101" spans="3:17" x14ac:dyDescent="0.35">
      <c r="K101" s="3" t="s">
        <v>78</v>
      </c>
      <c r="L101" s="3" t="s">
        <v>55</v>
      </c>
      <c r="M101" s="3" t="s">
        <v>69</v>
      </c>
      <c r="N101" s="3"/>
      <c r="O101" s="3">
        <v>0</v>
      </c>
      <c r="P101" s="3"/>
      <c r="Q101" s="3"/>
    </row>
    <row r="102" spans="3:17" x14ac:dyDescent="0.35">
      <c r="K102" s="3" t="s">
        <v>79</v>
      </c>
      <c r="L102" s="3" t="s">
        <v>57</v>
      </c>
      <c r="M102" s="3" t="s">
        <v>86</v>
      </c>
      <c r="N102" s="3" t="s">
        <v>89</v>
      </c>
      <c r="O102" s="3">
        <v>3</v>
      </c>
      <c r="P102" s="3" t="s">
        <v>71</v>
      </c>
      <c r="Q102" s="3" t="s">
        <v>94</v>
      </c>
    </row>
    <row r="104" spans="3:17" x14ac:dyDescent="0.35">
      <c r="C104" t="s">
        <v>8</v>
      </c>
    </row>
    <row r="105" spans="3:17" x14ac:dyDescent="0.35">
      <c r="C105" t="s">
        <v>67</v>
      </c>
    </row>
    <row r="106" spans="3:17" x14ac:dyDescent="0.35">
      <c r="K106" s="3"/>
      <c r="L106" s="3" t="s">
        <v>44</v>
      </c>
      <c r="M106" s="3" t="s">
        <v>63</v>
      </c>
      <c r="N106" s="3" t="s">
        <v>64</v>
      </c>
      <c r="O106" s="3" t="s">
        <v>65</v>
      </c>
    </row>
    <row r="107" spans="3:17" x14ac:dyDescent="0.35">
      <c r="K107" s="3" t="s">
        <v>73</v>
      </c>
      <c r="L107" s="3" t="s">
        <v>47</v>
      </c>
      <c r="M107" s="3"/>
      <c r="N107" s="3">
        <v>0</v>
      </c>
      <c r="O107" s="3"/>
    </row>
    <row r="108" spans="3:17" x14ac:dyDescent="0.35">
      <c r="K108" s="3" t="s">
        <v>74</v>
      </c>
      <c r="L108" s="3" t="s">
        <v>48</v>
      </c>
      <c r="M108" s="3"/>
      <c r="N108" s="3">
        <v>0</v>
      </c>
      <c r="O108" s="3"/>
    </row>
    <row r="109" spans="3:17" x14ac:dyDescent="0.35">
      <c r="K109" s="3" t="s">
        <v>75</v>
      </c>
      <c r="L109" s="3" t="s">
        <v>50</v>
      </c>
      <c r="M109" s="3" t="s">
        <v>77</v>
      </c>
      <c r="N109" s="3">
        <v>1</v>
      </c>
      <c r="O109" s="3" t="s">
        <v>66</v>
      </c>
    </row>
    <row r="110" spans="3:17" x14ac:dyDescent="0.35">
      <c r="K110" s="3" t="s">
        <v>76</v>
      </c>
      <c r="L110" s="3" t="s">
        <v>52</v>
      </c>
      <c r="M110" s="3"/>
      <c r="N110" s="3">
        <v>0</v>
      </c>
      <c r="O110" s="3"/>
    </row>
    <row r="111" spans="3:17" x14ac:dyDescent="0.35">
      <c r="K111" s="3" t="s">
        <v>77</v>
      </c>
      <c r="L111" s="3" t="s">
        <v>53</v>
      </c>
      <c r="M111" s="3" t="s">
        <v>81</v>
      </c>
      <c r="N111" s="3">
        <v>0</v>
      </c>
      <c r="O111" s="3"/>
    </row>
    <row r="112" spans="3:17" x14ac:dyDescent="0.35">
      <c r="K112" s="3" t="s">
        <v>78</v>
      </c>
      <c r="L112" s="3" t="s">
        <v>55</v>
      </c>
      <c r="M112" s="3"/>
      <c r="N112" s="3">
        <v>0</v>
      </c>
      <c r="O112" s="3"/>
    </row>
    <row r="113" spans="11:15" x14ac:dyDescent="0.35">
      <c r="K113" s="3" t="s">
        <v>79</v>
      </c>
      <c r="L113" s="3" t="s">
        <v>57</v>
      </c>
      <c r="M113" s="3"/>
      <c r="N113" s="3">
        <v>0</v>
      </c>
      <c r="O113" s="3"/>
    </row>
  </sheetData>
  <mergeCells count="12">
    <mergeCell ref="I66:J66"/>
    <mergeCell ref="C20:J20"/>
    <mergeCell ref="H31:J31"/>
    <mergeCell ref="H42:J42"/>
    <mergeCell ref="C35:J35"/>
    <mergeCell ref="I32:J32"/>
    <mergeCell ref="I43:J43"/>
    <mergeCell ref="C46:J46"/>
    <mergeCell ref="H54:J54"/>
    <mergeCell ref="I55:J55"/>
    <mergeCell ref="C58:J58"/>
    <mergeCell ref="H65:J6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C0337DBA9A1744983D11A9FB7D218C" ma:contentTypeVersion="2" ma:contentTypeDescription="Creare un nuovo documento." ma:contentTypeScope="" ma:versionID="eca432d30ca7b08b650b7c44f5b1cc90">
  <xsd:schema xmlns:xsd="http://www.w3.org/2001/XMLSchema" xmlns:xs="http://www.w3.org/2001/XMLSchema" xmlns:p="http://schemas.microsoft.com/office/2006/metadata/properties" xmlns:ns3="bb9a0474-075b-4bdf-8fb1-ae2bb252bd11" targetNamespace="http://schemas.microsoft.com/office/2006/metadata/properties" ma:root="true" ma:fieldsID="de4ef8f31f9bbcc6032c9b026068addc" ns3:_="">
    <xsd:import namespace="bb9a0474-075b-4bdf-8fb1-ae2bb252bd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a0474-075b-4bdf-8fb1-ae2bb252bd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C0A887-D98D-4011-B0B0-E045215B38BE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b9a0474-075b-4bdf-8fb1-ae2bb252bd1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0FDD1C-F085-481C-95F4-8850306CE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429CA-3AE9-4B85-AA3D-FC14745FA3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9a0474-075b-4bdf-8fb1-ae2bb252bd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m.volpato4@campus.unimib.it</dc:creator>
  <cp:lastModifiedBy>m.volpato4@campus.unimib.it</cp:lastModifiedBy>
  <dcterms:created xsi:type="dcterms:W3CDTF">2024-11-28T09:10:13Z</dcterms:created>
  <dcterms:modified xsi:type="dcterms:W3CDTF">2025-01-13T14:39:08Z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0x010100E9C0337DBA9A1744983D11A9FB7D218C</vt:lpwstr>
  </property>
</Properties>
</file>